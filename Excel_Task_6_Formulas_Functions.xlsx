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579FBB6-3E69-4125-9BDD-E2C03FDC648F}" xr6:coauthVersionLast="36" xr6:coauthVersionMax="36" xr10:uidLastSave="{00000000-0000-0000-0000-000000000000}"/>
  <bookViews>
    <workbookView xWindow="0" yWindow="0" windowWidth="20490" windowHeight="8820" xr2:uid="{00000000-000D-0000-FFFF-FFFF00000000}"/>
  </bookViews>
  <sheets>
    <sheet name="Transactions" sheetId="1" r:id="rId1"/>
    <sheet name="Products" sheetId="2" r:id="rId2"/>
    <sheet name="Practice" sheetId="3" r:id="rId3"/>
    <sheet name="Formula_Notes" sheetId="4" r:id="rId4"/>
  </sheets>
  <calcPr calcId="191029"/>
</workbook>
</file>

<file path=xl/calcChain.xml><?xml version="1.0" encoding="utf-8"?>
<calcChain xmlns="http://schemas.openxmlformats.org/spreadsheetml/2006/main">
  <c r="C2" i="4" l="1"/>
  <c r="C9" i="4" s="1"/>
  <c r="B2" i="3"/>
  <c r="B9" i="3"/>
  <c r="B8" i="3"/>
  <c r="B7" i="3"/>
  <c r="B6" i="3"/>
  <c r="B5" i="3"/>
  <c r="B4" i="3"/>
  <c r="B3" i="3"/>
  <c r="C6" i="4"/>
  <c r="C5" i="4"/>
  <c r="C4" i="4"/>
  <c r="C3" i="4"/>
  <c r="C7" i="4" l="1"/>
  <c r="C8" i="4"/>
</calcChain>
</file>

<file path=xl/sharedStrings.xml><?xml version="1.0" encoding="utf-8"?>
<sst xmlns="http://schemas.openxmlformats.org/spreadsheetml/2006/main" count="312" uniqueCount="159">
  <si>
    <t>Order_ID</t>
  </si>
  <si>
    <t>Date</t>
  </si>
  <si>
    <t>Customer</t>
  </si>
  <si>
    <t>Product_ID</t>
  </si>
  <si>
    <t>Product</t>
  </si>
  <si>
    <t>Category</t>
  </si>
  <si>
    <t>Region</t>
  </si>
  <si>
    <t>Salesperson</t>
  </si>
  <si>
    <t>Units</t>
  </si>
  <si>
    <t>Unit_Price</t>
  </si>
  <si>
    <t>Revenue</t>
  </si>
  <si>
    <t>ORD001</t>
  </si>
  <si>
    <t>2026-09-01</t>
  </si>
  <si>
    <t>Amit</t>
  </si>
  <si>
    <t>P101</t>
  </si>
  <si>
    <t>Laptop</t>
  </si>
  <si>
    <t>Electronics</t>
  </si>
  <si>
    <t>North</t>
  </si>
  <si>
    <t>Ravi</t>
  </si>
  <si>
    <t>ORD002</t>
  </si>
  <si>
    <t>2026-09-02</t>
  </si>
  <si>
    <t>Neha</t>
  </si>
  <si>
    <t>P102</t>
  </si>
  <si>
    <t>Mouse</t>
  </si>
  <si>
    <t>Accessories</t>
  </si>
  <si>
    <t>Priya</t>
  </si>
  <si>
    <t>ORD003</t>
  </si>
  <si>
    <t>2026-09-03</t>
  </si>
  <si>
    <t>Rahul</t>
  </si>
  <si>
    <t>P103</t>
  </si>
  <si>
    <t>Keyboard</t>
  </si>
  <si>
    <t>West</t>
  </si>
  <si>
    <t>Aman</t>
  </si>
  <si>
    <t>ORD004</t>
  </si>
  <si>
    <t>2026-09-04</t>
  </si>
  <si>
    <t>Simran</t>
  </si>
  <si>
    <t>P104</t>
  </si>
  <si>
    <t>Monitor</t>
  </si>
  <si>
    <t>South</t>
  </si>
  <si>
    <t>ORD005</t>
  </si>
  <si>
    <t>2026-09-05</t>
  </si>
  <si>
    <t>Vikas</t>
  </si>
  <si>
    <t>P105</t>
  </si>
  <si>
    <t>Printer</t>
  </si>
  <si>
    <t>East</t>
  </si>
  <si>
    <t>ORD006</t>
  </si>
  <si>
    <t>2026-09-06</t>
  </si>
  <si>
    <t>Pooja</t>
  </si>
  <si>
    <t>ORD007</t>
  </si>
  <si>
    <t>2026-09-07</t>
  </si>
  <si>
    <t>Karan</t>
  </si>
  <si>
    <t>P106</t>
  </si>
  <si>
    <t>Headset</t>
  </si>
  <si>
    <t>ORD008</t>
  </si>
  <si>
    <t>2026-09-08</t>
  </si>
  <si>
    <t>Anjali</t>
  </si>
  <si>
    <t>P107</t>
  </si>
  <si>
    <t>Webcam</t>
  </si>
  <si>
    <t>ORD009</t>
  </si>
  <si>
    <t>2026-09-09</t>
  </si>
  <si>
    <t>Deepak</t>
  </si>
  <si>
    <t>ORD010</t>
  </si>
  <si>
    <t>2026-09-10</t>
  </si>
  <si>
    <t>Meena</t>
  </si>
  <si>
    <t>ORD011</t>
  </si>
  <si>
    <t>2026-09-11</t>
  </si>
  <si>
    <t>Rohit</t>
  </si>
  <si>
    <t>ORD012</t>
  </si>
  <si>
    <t>2026-09-12</t>
  </si>
  <si>
    <t>Kavita</t>
  </si>
  <si>
    <t>ORD013</t>
  </si>
  <si>
    <t>2026-09-13</t>
  </si>
  <si>
    <t>Suresh</t>
  </si>
  <si>
    <t>ORD014</t>
  </si>
  <si>
    <t>2026-09-14</t>
  </si>
  <si>
    <t>Nisha</t>
  </si>
  <si>
    <t>ORD015</t>
  </si>
  <si>
    <t>2026-09-15</t>
  </si>
  <si>
    <t>Manish</t>
  </si>
  <si>
    <t>ORD016</t>
  </si>
  <si>
    <t>2026-09-16</t>
  </si>
  <si>
    <t>Riya</t>
  </si>
  <si>
    <t>ORD017</t>
  </si>
  <si>
    <t>2026-09-17</t>
  </si>
  <si>
    <t>Arjun</t>
  </si>
  <si>
    <t>ORD018</t>
  </si>
  <si>
    <t>2026-09-18</t>
  </si>
  <si>
    <t>Isha</t>
  </si>
  <si>
    <t>ORD019</t>
  </si>
  <si>
    <t>2026-09-19</t>
  </si>
  <si>
    <t>Varun</t>
  </si>
  <si>
    <t>ORD020</t>
  </si>
  <si>
    <t>2026-09-20</t>
  </si>
  <si>
    <t>Tanya</t>
  </si>
  <si>
    <t>ORD021</t>
  </si>
  <si>
    <t>2026-09-21</t>
  </si>
  <si>
    <t>Mohit</t>
  </si>
  <si>
    <t>ORD022</t>
  </si>
  <si>
    <t>2026-09-22</t>
  </si>
  <si>
    <t>Pinki</t>
  </si>
  <si>
    <t>ORD023</t>
  </si>
  <si>
    <t>2026-09-23</t>
  </si>
  <si>
    <t>Gaurav</t>
  </si>
  <si>
    <t>ORD024</t>
  </si>
  <si>
    <t>2026-09-24</t>
  </si>
  <si>
    <t>Sonia</t>
  </si>
  <si>
    <t>ORD025</t>
  </si>
  <si>
    <t>2026-09-25</t>
  </si>
  <si>
    <t>Nitin</t>
  </si>
  <si>
    <t>ORD026</t>
  </si>
  <si>
    <t>2026-09-26</t>
  </si>
  <si>
    <t>Jyoti</t>
  </si>
  <si>
    <t>ORD027</t>
  </si>
  <si>
    <t>2026-09-27</t>
  </si>
  <si>
    <t>Sachin</t>
  </si>
  <si>
    <t>ORD028</t>
  </si>
  <si>
    <t>2026-09-28</t>
  </si>
  <si>
    <t>Komal</t>
  </si>
  <si>
    <t>ORD029</t>
  </si>
  <si>
    <t>2026-09-29</t>
  </si>
  <si>
    <t>Harish</t>
  </si>
  <si>
    <t>ORD030</t>
  </si>
  <si>
    <t>2026-09-30</t>
  </si>
  <si>
    <t>Pallavi</t>
  </si>
  <si>
    <t>Task</t>
  </si>
  <si>
    <t>Formula to practice</t>
  </si>
  <si>
    <t>Your Answer</t>
  </si>
  <si>
    <t>1. Get Product name from Product_ID using VLOOKUP</t>
  </si>
  <si>
    <t>2. Get Product name using XLOOKUP</t>
  </si>
  <si>
    <t>3. Classify Revenue as High/Low using IF (High &gt;= 50000)</t>
  </si>
  <si>
    <t>4. Total revenue for North region using SUMIFS</t>
  </si>
  <si>
    <t>5. Count orders from Electronics using COUNTIFS</t>
  </si>
  <si>
    <t>6. Convert customer name to UPPER</t>
  </si>
  <si>
    <t>7. Get first 3 letters of customer name</t>
  </si>
  <si>
    <t>8. Combine Customer and Region</t>
  </si>
  <si>
    <t>Function</t>
  </si>
  <si>
    <t>When to use</t>
  </si>
  <si>
    <t>Example</t>
  </si>
  <si>
    <t>VLOOKUP</t>
  </si>
  <si>
    <t>Find a value in the first column of a table and return related data.</t>
  </si>
  <si>
    <t>XLOOKUP</t>
  </si>
  <si>
    <t>Modern lookup; easier and more flexible than VLOOKUP.</t>
  </si>
  <si>
    <t>IF</t>
  </si>
  <si>
    <t>Return one result when a condition is true and another when false.</t>
  </si>
  <si>
    <t>SUMIFS</t>
  </si>
  <si>
    <t>Add values that meet one or more conditions.</t>
  </si>
  <si>
    <t>COUNTIFS</t>
  </si>
  <si>
    <t>Count rows that meet one or more conditions.</t>
  </si>
  <si>
    <t>UPPER</t>
  </si>
  <si>
    <t>Convert text to uppercase.</t>
  </si>
  <si>
    <t>LEFT</t>
  </si>
  <si>
    <t>Extract characters from the left side of text.</t>
  </si>
  <si>
    <t>CONCAT / &amp;</t>
  </si>
  <si>
    <t>Join text values together.</t>
  </si>
  <si>
    <t>laptop</t>
  </si>
  <si>
    <t>mouse</t>
  </si>
  <si>
    <t>high</t>
  </si>
  <si>
    <t xml:space="preserve">ami </t>
  </si>
  <si>
    <t>Amit-North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</si>
</sst>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5" width="12" customWidth="1"/>
    <col min="6" max="6" width="13" customWidth="1"/>
    <col min="7" max="7" width="12" customWidth="1"/>
    <col min="8" max="8" width="13" customWidth="1"/>
    <col min="9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</v>
      </c>
      <c r="J2" s="3">
        <v>55000</v>
      </c>
      <c r="K2" s="3">
        <v>110000</v>
      </c>
    </row>
    <row r="3" spans="1:11" x14ac:dyDescent="0.25">
      <c r="A3" t="s">
        <v>19</v>
      </c>
      <c r="B3" s="2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17</v>
      </c>
      <c r="H3" t="s">
        <v>25</v>
      </c>
      <c r="I3">
        <v>5</v>
      </c>
      <c r="J3" s="3">
        <v>800</v>
      </c>
      <c r="K3" s="3">
        <v>4000</v>
      </c>
    </row>
    <row r="4" spans="1:11" x14ac:dyDescent="0.25">
      <c r="A4" t="s">
        <v>26</v>
      </c>
      <c r="B4" s="2" t="s">
        <v>27</v>
      </c>
      <c r="C4" t="s">
        <v>28</v>
      </c>
      <c r="D4" t="s">
        <v>29</v>
      </c>
      <c r="E4" t="s">
        <v>30</v>
      </c>
      <c r="F4" t="s">
        <v>24</v>
      </c>
      <c r="G4" t="s">
        <v>31</v>
      </c>
      <c r="H4" t="s">
        <v>32</v>
      </c>
      <c r="I4">
        <v>3</v>
      </c>
      <c r="J4" s="3">
        <v>1500</v>
      </c>
      <c r="K4" s="3">
        <v>4500</v>
      </c>
    </row>
    <row r="5" spans="1:11" x14ac:dyDescent="0.25">
      <c r="A5" t="s">
        <v>33</v>
      </c>
      <c r="B5" s="2" t="s">
        <v>34</v>
      </c>
      <c r="C5" t="s">
        <v>35</v>
      </c>
      <c r="D5" t="s">
        <v>36</v>
      </c>
      <c r="E5" t="s">
        <v>37</v>
      </c>
      <c r="F5" t="s">
        <v>16</v>
      </c>
      <c r="G5" t="s">
        <v>38</v>
      </c>
      <c r="H5" t="s">
        <v>18</v>
      </c>
      <c r="I5">
        <v>2</v>
      </c>
      <c r="J5" s="3">
        <v>12000</v>
      </c>
      <c r="K5" s="3">
        <v>24000</v>
      </c>
    </row>
    <row r="6" spans="1:11" x14ac:dyDescent="0.25">
      <c r="A6" t="s">
        <v>39</v>
      </c>
      <c r="B6" s="2" t="s">
        <v>40</v>
      </c>
      <c r="C6" t="s">
        <v>41</v>
      </c>
      <c r="D6" t="s">
        <v>42</v>
      </c>
      <c r="E6" t="s">
        <v>43</v>
      </c>
      <c r="F6" t="s">
        <v>16</v>
      </c>
      <c r="G6" t="s">
        <v>44</v>
      </c>
      <c r="H6" t="s">
        <v>25</v>
      </c>
      <c r="I6">
        <v>1</v>
      </c>
      <c r="J6" s="3">
        <v>18000</v>
      </c>
      <c r="K6" s="3">
        <v>18000</v>
      </c>
    </row>
    <row r="7" spans="1:11" x14ac:dyDescent="0.25">
      <c r="A7" t="s">
        <v>45</v>
      </c>
      <c r="B7" s="2" t="s">
        <v>46</v>
      </c>
      <c r="C7" t="s">
        <v>47</v>
      </c>
      <c r="D7" t="s">
        <v>14</v>
      </c>
      <c r="E7" t="s">
        <v>15</v>
      </c>
      <c r="F7" t="s">
        <v>16</v>
      </c>
      <c r="G7" t="s">
        <v>31</v>
      </c>
      <c r="H7" t="s">
        <v>32</v>
      </c>
      <c r="I7">
        <v>1</v>
      </c>
      <c r="J7" s="3">
        <v>55000</v>
      </c>
      <c r="K7" s="3">
        <v>55000</v>
      </c>
    </row>
    <row r="8" spans="1:11" x14ac:dyDescent="0.25">
      <c r="A8" t="s">
        <v>48</v>
      </c>
      <c r="B8" s="2" t="s">
        <v>49</v>
      </c>
      <c r="C8" t="s">
        <v>50</v>
      </c>
      <c r="D8" t="s">
        <v>51</v>
      </c>
      <c r="E8" t="s">
        <v>52</v>
      </c>
      <c r="F8" t="s">
        <v>24</v>
      </c>
      <c r="G8" t="s">
        <v>17</v>
      </c>
      <c r="H8" t="s">
        <v>18</v>
      </c>
      <c r="I8">
        <v>4</v>
      </c>
      <c r="J8" s="3">
        <v>2200</v>
      </c>
      <c r="K8" s="3">
        <v>8800</v>
      </c>
    </row>
    <row r="9" spans="1:11" x14ac:dyDescent="0.25">
      <c r="A9" t="s">
        <v>53</v>
      </c>
      <c r="B9" s="2" t="s">
        <v>54</v>
      </c>
      <c r="C9" t="s">
        <v>55</v>
      </c>
      <c r="D9" t="s">
        <v>56</v>
      </c>
      <c r="E9" t="s">
        <v>57</v>
      </c>
      <c r="F9" t="s">
        <v>24</v>
      </c>
      <c r="G9" t="s">
        <v>38</v>
      </c>
      <c r="H9" t="s">
        <v>25</v>
      </c>
      <c r="I9">
        <v>2</v>
      </c>
      <c r="J9" s="3">
        <v>3500</v>
      </c>
      <c r="K9" s="3">
        <v>7000</v>
      </c>
    </row>
    <row r="10" spans="1:11" x14ac:dyDescent="0.25">
      <c r="A10" t="s">
        <v>58</v>
      </c>
      <c r="B10" s="2" t="s">
        <v>59</v>
      </c>
      <c r="C10" t="s">
        <v>60</v>
      </c>
      <c r="D10" t="s">
        <v>29</v>
      </c>
      <c r="E10" t="s">
        <v>30</v>
      </c>
      <c r="F10" t="s">
        <v>24</v>
      </c>
      <c r="G10" t="s">
        <v>44</v>
      </c>
      <c r="H10" t="s">
        <v>32</v>
      </c>
      <c r="I10">
        <v>6</v>
      </c>
      <c r="J10" s="3">
        <v>1500</v>
      </c>
      <c r="K10" s="3">
        <v>9000</v>
      </c>
    </row>
    <row r="11" spans="1:11" x14ac:dyDescent="0.25">
      <c r="A11" t="s">
        <v>61</v>
      </c>
      <c r="B11" s="2" t="s">
        <v>62</v>
      </c>
      <c r="C11" t="s">
        <v>63</v>
      </c>
      <c r="D11" t="s">
        <v>36</v>
      </c>
      <c r="E11" t="s">
        <v>37</v>
      </c>
      <c r="F11" t="s">
        <v>16</v>
      </c>
      <c r="G11" t="s">
        <v>17</v>
      </c>
      <c r="H11" t="s">
        <v>18</v>
      </c>
      <c r="I11">
        <v>3</v>
      </c>
      <c r="J11" s="3">
        <v>12000</v>
      </c>
      <c r="K11" s="3">
        <v>36000</v>
      </c>
    </row>
    <row r="12" spans="1:11" x14ac:dyDescent="0.25">
      <c r="A12" t="s">
        <v>64</v>
      </c>
      <c r="B12" s="2" t="s">
        <v>65</v>
      </c>
      <c r="C12" t="s">
        <v>66</v>
      </c>
      <c r="D12" t="s">
        <v>22</v>
      </c>
      <c r="E12" t="s">
        <v>23</v>
      </c>
      <c r="F12" t="s">
        <v>24</v>
      </c>
      <c r="G12" t="s">
        <v>31</v>
      </c>
      <c r="H12" t="s">
        <v>25</v>
      </c>
      <c r="I12">
        <v>8</v>
      </c>
      <c r="J12" s="3">
        <v>800</v>
      </c>
      <c r="K12" s="3">
        <v>6400</v>
      </c>
    </row>
    <row r="13" spans="1:11" x14ac:dyDescent="0.25">
      <c r="A13" t="s">
        <v>67</v>
      </c>
      <c r="B13" s="2" t="s">
        <v>68</v>
      </c>
      <c r="C13" t="s">
        <v>69</v>
      </c>
      <c r="D13" t="s">
        <v>42</v>
      </c>
      <c r="E13" t="s">
        <v>43</v>
      </c>
      <c r="F13" t="s">
        <v>16</v>
      </c>
      <c r="G13" t="s">
        <v>38</v>
      </c>
      <c r="H13" t="s">
        <v>32</v>
      </c>
      <c r="I13">
        <v>2</v>
      </c>
      <c r="J13" s="3">
        <v>18000</v>
      </c>
      <c r="K13" s="3">
        <v>36000</v>
      </c>
    </row>
    <row r="14" spans="1:11" x14ac:dyDescent="0.25">
      <c r="A14" t="s">
        <v>70</v>
      </c>
      <c r="B14" s="2" t="s">
        <v>71</v>
      </c>
      <c r="C14" t="s">
        <v>72</v>
      </c>
      <c r="D14" t="s">
        <v>14</v>
      </c>
      <c r="E14" t="s">
        <v>15</v>
      </c>
      <c r="F14" t="s">
        <v>16</v>
      </c>
      <c r="G14" t="s">
        <v>44</v>
      </c>
      <c r="H14" t="s">
        <v>18</v>
      </c>
      <c r="I14">
        <v>2</v>
      </c>
      <c r="J14" s="3">
        <v>55000</v>
      </c>
      <c r="K14" s="3">
        <v>110000</v>
      </c>
    </row>
    <row r="15" spans="1:11" x14ac:dyDescent="0.25">
      <c r="A15" t="s">
        <v>73</v>
      </c>
      <c r="B15" s="2" t="s">
        <v>74</v>
      </c>
      <c r="C15" t="s">
        <v>75</v>
      </c>
      <c r="D15" t="s">
        <v>51</v>
      </c>
      <c r="E15" t="s">
        <v>52</v>
      </c>
      <c r="F15" t="s">
        <v>24</v>
      </c>
      <c r="G15" t="s">
        <v>17</v>
      </c>
      <c r="H15" t="s">
        <v>25</v>
      </c>
      <c r="I15">
        <v>5</v>
      </c>
      <c r="J15" s="3">
        <v>2200</v>
      </c>
      <c r="K15" s="3">
        <v>11000</v>
      </c>
    </row>
    <row r="16" spans="1:11" x14ac:dyDescent="0.25">
      <c r="A16" t="s">
        <v>76</v>
      </c>
      <c r="B16" s="2" t="s">
        <v>77</v>
      </c>
      <c r="C16" t="s">
        <v>78</v>
      </c>
      <c r="D16" t="s">
        <v>56</v>
      </c>
      <c r="E16" t="s">
        <v>57</v>
      </c>
      <c r="F16" t="s">
        <v>24</v>
      </c>
      <c r="G16" t="s">
        <v>31</v>
      </c>
      <c r="H16" t="s">
        <v>32</v>
      </c>
      <c r="I16">
        <v>3</v>
      </c>
      <c r="J16" s="3">
        <v>3500</v>
      </c>
      <c r="K16" s="3">
        <v>10500</v>
      </c>
    </row>
    <row r="17" spans="1:11" x14ac:dyDescent="0.25">
      <c r="A17" t="s">
        <v>79</v>
      </c>
      <c r="B17" s="2" t="s">
        <v>80</v>
      </c>
      <c r="C17" t="s">
        <v>81</v>
      </c>
      <c r="D17" t="s">
        <v>36</v>
      </c>
      <c r="E17" t="s">
        <v>37</v>
      </c>
      <c r="F17" t="s">
        <v>16</v>
      </c>
      <c r="G17" t="s">
        <v>38</v>
      </c>
      <c r="H17" t="s">
        <v>18</v>
      </c>
      <c r="I17">
        <v>1</v>
      </c>
      <c r="J17" s="3">
        <v>12000</v>
      </c>
      <c r="K17" s="3">
        <v>12000</v>
      </c>
    </row>
    <row r="18" spans="1:11" x14ac:dyDescent="0.25">
      <c r="A18" t="s">
        <v>82</v>
      </c>
      <c r="B18" s="2" t="s">
        <v>83</v>
      </c>
      <c r="C18" t="s">
        <v>84</v>
      </c>
      <c r="D18" t="s">
        <v>29</v>
      </c>
      <c r="E18" t="s">
        <v>30</v>
      </c>
      <c r="F18" t="s">
        <v>24</v>
      </c>
      <c r="G18" t="s">
        <v>44</v>
      </c>
      <c r="H18" t="s">
        <v>25</v>
      </c>
      <c r="I18">
        <v>4</v>
      </c>
      <c r="J18" s="3">
        <v>1500</v>
      </c>
      <c r="K18" s="3">
        <v>6000</v>
      </c>
    </row>
    <row r="19" spans="1:11" x14ac:dyDescent="0.25">
      <c r="A19" t="s">
        <v>85</v>
      </c>
      <c r="B19" s="2" t="s">
        <v>86</v>
      </c>
      <c r="C19" t="s">
        <v>87</v>
      </c>
      <c r="D19" t="s">
        <v>22</v>
      </c>
      <c r="E19" t="s">
        <v>23</v>
      </c>
      <c r="F19" t="s">
        <v>24</v>
      </c>
      <c r="G19" t="s">
        <v>17</v>
      </c>
      <c r="H19" t="s">
        <v>32</v>
      </c>
      <c r="I19">
        <v>10</v>
      </c>
      <c r="J19" s="3">
        <v>800</v>
      </c>
      <c r="K19" s="3">
        <v>8000</v>
      </c>
    </row>
    <row r="20" spans="1:11" x14ac:dyDescent="0.25">
      <c r="A20" t="s">
        <v>88</v>
      </c>
      <c r="B20" s="2" t="s">
        <v>89</v>
      </c>
      <c r="C20" t="s">
        <v>90</v>
      </c>
      <c r="D20" t="s">
        <v>42</v>
      </c>
      <c r="E20" t="s">
        <v>43</v>
      </c>
      <c r="F20" t="s">
        <v>16</v>
      </c>
      <c r="G20" t="s">
        <v>31</v>
      </c>
      <c r="H20" t="s">
        <v>18</v>
      </c>
      <c r="I20">
        <v>1</v>
      </c>
      <c r="J20" s="3">
        <v>18000</v>
      </c>
      <c r="K20" s="3">
        <v>18000</v>
      </c>
    </row>
    <row r="21" spans="1:11" x14ac:dyDescent="0.25">
      <c r="A21" t="s">
        <v>91</v>
      </c>
      <c r="B21" s="2" t="s">
        <v>92</v>
      </c>
      <c r="C21" t="s">
        <v>93</v>
      </c>
      <c r="D21" t="s">
        <v>14</v>
      </c>
      <c r="E21" t="s">
        <v>15</v>
      </c>
      <c r="F21" t="s">
        <v>16</v>
      </c>
      <c r="G21" t="s">
        <v>38</v>
      </c>
      <c r="H21" t="s">
        <v>25</v>
      </c>
      <c r="I21">
        <v>3</v>
      </c>
      <c r="J21" s="3">
        <v>55000</v>
      </c>
      <c r="K21" s="3">
        <v>165000</v>
      </c>
    </row>
    <row r="22" spans="1:11" x14ac:dyDescent="0.25">
      <c r="A22" t="s">
        <v>94</v>
      </c>
      <c r="B22" s="2" t="s">
        <v>95</v>
      </c>
      <c r="C22" t="s">
        <v>96</v>
      </c>
      <c r="D22" t="s">
        <v>51</v>
      </c>
      <c r="E22" t="s">
        <v>52</v>
      </c>
      <c r="F22" t="s">
        <v>24</v>
      </c>
      <c r="G22" t="s">
        <v>44</v>
      </c>
      <c r="H22" t="s">
        <v>32</v>
      </c>
      <c r="I22">
        <v>2</v>
      </c>
      <c r="J22" s="3">
        <v>2200</v>
      </c>
      <c r="K22" s="3">
        <v>4400</v>
      </c>
    </row>
    <row r="23" spans="1:11" x14ac:dyDescent="0.25">
      <c r="A23" t="s">
        <v>97</v>
      </c>
      <c r="B23" s="2" t="s">
        <v>98</v>
      </c>
      <c r="C23" t="s">
        <v>99</v>
      </c>
      <c r="D23" t="s">
        <v>56</v>
      </c>
      <c r="E23" t="s">
        <v>57</v>
      </c>
      <c r="F23" t="s">
        <v>24</v>
      </c>
      <c r="G23" t="s">
        <v>17</v>
      </c>
      <c r="H23" t="s">
        <v>18</v>
      </c>
      <c r="I23">
        <v>4</v>
      </c>
      <c r="J23" s="3">
        <v>3500</v>
      </c>
      <c r="K23" s="3">
        <v>14000</v>
      </c>
    </row>
    <row r="24" spans="1:11" x14ac:dyDescent="0.25">
      <c r="A24" t="s">
        <v>100</v>
      </c>
      <c r="B24" s="2" t="s">
        <v>101</v>
      </c>
      <c r="C24" t="s">
        <v>102</v>
      </c>
      <c r="D24" t="s">
        <v>36</v>
      </c>
      <c r="E24" t="s">
        <v>37</v>
      </c>
      <c r="F24" t="s">
        <v>16</v>
      </c>
      <c r="G24" t="s">
        <v>31</v>
      </c>
      <c r="H24" t="s">
        <v>25</v>
      </c>
      <c r="I24">
        <v>2</v>
      </c>
      <c r="J24" s="3">
        <v>12000</v>
      </c>
      <c r="K24" s="3">
        <v>24000</v>
      </c>
    </row>
    <row r="25" spans="1:11" x14ac:dyDescent="0.25">
      <c r="A25" t="s">
        <v>103</v>
      </c>
      <c r="B25" s="2" t="s">
        <v>104</v>
      </c>
      <c r="C25" t="s">
        <v>105</v>
      </c>
      <c r="D25" t="s">
        <v>29</v>
      </c>
      <c r="E25" t="s">
        <v>30</v>
      </c>
      <c r="F25" t="s">
        <v>24</v>
      </c>
      <c r="G25" t="s">
        <v>38</v>
      </c>
      <c r="H25" t="s">
        <v>32</v>
      </c>
      <c r="I25">
        <v>7</v>
      </c>
      <c r="J25" s="3">
        <v>1500</v>
      </c>
      <c r="K25" s="3">
        <v>10500</v>
      </c>
    </row>
    <row r="26" spans="1:11" x14ac:dyDescent="0.25">
      <c r="A26" t="s">
        <v>106</v>
      </c>
      <c r="B26" s="2" t="s">
        <v>107</v>
      </c>
      <c r="C26" t="s">
        <v>108</v>
      </c>
      <c r="D26" t="s">
        <v>22</v>
      </c>
      <c r="E26" t="s">
        <v>23</v>
      </c>
      <c r="F26" t="s">
        <v>24</v>
      </c>
      <c r="G26" t="s">
        <v>44</v>
      </c>
      <c r="H26" t="s">
        <v>18</v>
      </c>
      <c r="I26">
        <v>9</v>
      </c>
      <c r="J26" s="3">
        <v>800</v>
      </c>
      <c r="K26" s="3">
        <v>7200</v>
      </c>
    </row>
    <row r="27" spans="1:11" x14ac:dyDescent="0.25">
      <c r="A27" t="s">
        <v>109</v>
      </c>
      <c r="B27" s="2" t="s">
        <v>110</v>
      </c>
      <c r="C27" t="s">
        <v>111</v>
      </c>
      <c r="D27" t="s">
        <v>42</v>
      </c>
      <c r="E27" t="s">
        <v>43</v>
      </c>
      <c r="F27" t="s">
        <v>16</v>
      </c>
      <c r="G27" t="s">
        <v>17</v>
      </c>
      <c r="H27" t="s">
        <v>25</v>
      </c>
      <c r="I27">
        <v>2</v>
      </c>
      <c r="J27" s="3">
        <v>18000</v>
      </c>
      <c r="K27" s="3">
        <v>36000</v>
      </c>
    </row>
    <row r="28" spans="1:11" x14ac:dyDescent="0.25">
      <c r="A28" t="s">
        <v>112</v>
      </c>
      <c r="B28" s="2" t="s">
        <v>113</v>
      </c>
      <c r="C28" t="s">
        <v>114</v>
      </c>
      <c r="D28" t="s">
        <v>14</v>
      </c>
      <c r="E28" t="s">
        <v>15</v>
      </c>
      <c r="F28" t="s">
        <v>16</v>
      </c>
      <c r="G28" t="s">
        <v>31</v>
      </c>
      <c r="H28" t="s">
        <v>32</v>
      </c>
      <c r="I28">
        <v>1</v>
      </c>
      <c r="J28" s="3">
        <v>55000</v>
      </c>
      <c r="K28" s="3">
        <v>55000</v>
      </c>
    </row>
    <row r="29" spans="1:11" x14ac:dyDescent="0.25">
      <c r="A29" t="s">
        <v>115</v>
      </c>
      <c r="B29" s="2" t="s">
        <v>116</v>
      </c>
      <c r="C29" t="s">
        <v>117</v>
      </c>
      <c r="D29" t="s">
        <v>51</v>
      </c>
      <c r="E29" t="s">
        <v>52</v>
      </c>
      <c r="F29" t="s">
        <v>24</v>
      </c>
      <c r="G29" t="s">
        <v>38</v>
      </c>
      <c r="H29" t="s">
        <v>18</v>
      </c>
      <c r="I29">
        <v>6</v>
      </c>
      <c r="J29" s="3">
        <v>2200</v>
      </c>
      <c r="K29" s="3">
        <v>13200</v>
      </c>
    </row>
    <row r="30" spans="1:11" x14ac:dyDescent="0.25">
      <c r="A30" t="s">
        <v>118</v>
      </c>
      <c r="B30" s="2" t="s">
        <v>119</v>
      </c>
      <c r="C30" t="s">
        <v>120</v>
      </c>
      <c r="D30" t="s">
        <v>56</v>
      </c>
      <c r="E30" t="s">
        <v>57</v>
      </c>
      <c r="F30" t="s">
        <v>24</v>
      </c>
      <c r="G30" t="s">
        <v>44</v>
      </c>
      <c r="H30" t="s">
        <v>25</v>
      </c>
      <c r="I30">
        <v>2</v>
      </c>
      <c r="J30" s="3">
        <v>3500</v>
      </c>
      <c r="K30" s="3">
        <v>7000</v>
      </c>
    </row>
    <row r="31" spans="1:11" x14ac:dyDescent="0.25">
      <c r="A31" t="s">
        <v>121</v>
      </c>
      <c r="B31" s="2" t="s">
        <v>122</v>
      </c>
      <c r="C31" t="s">
        <v>123</v>
      </c>
      <c r="D31" t="s">
        <v>36</v>
      </c>
      <c r="E31" t="s">
        <v>37</v>
      </c>
      <c r="F31" t="s">
        <v>16</v>
      </c>
      <c r="G31" t="s">
        <v>17</v>
      </c>
      <c r="H31" t="s">
        <v>32</v>
      </c>
      <c r="I31">
        <v>2</v>
      </c>
      <c r="J31" s="3">
        <v>12000</v>
      </c>
      <c r="K31" s="3">
        <v>24000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12" customWidth="1"/>
  </cols>
  <sheetData>
    <row r="1" spans="1:4" x14ac:dyDescent="0.25">
      <c r="A1" s="1" t="s">
        <v>3</v>
      </c>
      <c r="B1" s="1" t="s">
        <v>4</v>
      </c>
      <c r="C1" s="1" t="s">
        <v>5</v>
      </c>
      <c r="D1" s="1" t="s">
        <v>9</v>
      </c>
    </row>
    <row r="2" spans="1:4" x14ac:dyDescent="0.25">
      <c r="A2" t="s">
        <v>14</v>
      </c>
      <c r="B2" t="s">
        <v>15</v>
      </c>
      <c r="C2" t="s">
        <v>16</v>
      </c>
      <c r="D2">
        <v>55000</v>
      </c>
    </row>
    <row r="3" spans="1:4" x14ac:dyDescent="0.25">
      <c r="A3" t="s">
        <v>22</v>
      </c>
      <c r="B3" t="s">
        <v>23</v>
      </c>
      <c r="C3" t="s">
        <v>24</v>
      </c>
      <c r="D3">
        <v>800</v>
      </c>
    </row>
    <row r="4" spans="1:4" x14ac:dyDescent="0.25">
      <c r="A4" t="s">
        <v>29</v>
      </c>
      <c r="B4" t="s">
        <v>30</v>
      </c>
      <c r="C4" t="s">
        <v>24</v>
      </c>
      <c r="D4">
        <v>1500</v>
      </c>
    </row>
    <row r="5" spans="1:4" x14ac:dyDescent="0.25">
      <c r="A5" t="s">
        <v>36</v>
      </c>
      <c r="B5" t="s">
        <v>37</v>
      </c>
      <c r="C5" t="s">
        <v>16</v>
      </c>
      <c r="D5">
        <v>12000</v>
      </c>
    </row>
    <row r="6" spans="1:4" x14ac:dyDescent="0.25">
      <c r="A6" t="s">
        <v>42</v>
      </c>
      <c r="B6" t="s">
        <v>43</v>
      </c>
      <c r="C6" t="s">
        <v>16</v>
      </c>
      <c r="D6">
        <v>18000</v>
      </c>
    </row>
    <row r="7" spans="1:4" x14ac:dyDescent="0.25">
      <c r="A7" t="s">
        <v>51</v>
      </c>
      <c r="B7" t="s">
        <v>52</v>
      </c>
      <c r="C7" t="s">
        <v>24</v>
      </c>
      <c r="D7">
        <v>2200</v>
      </c>
    </row>
    <row r="8" spans="1:4" x14ac:dyDescent="0.25">
      <c r="A8" t="s">
        <v>56</v>
      </c>
      <c r="B8" t="s">
        <v>57</v>
      </c>
      <c r="C8" t="s">
        <v>24</v>
      </c>
      <c r="D8">
        <v>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2" width="42" customWidth="1"/>
    <col min="3" max="3" width="13" customWidth="1"/>
  </cols>
  <sheetData>
    <row r="1" spans="1:3" x14ac:dyDescent="0.25">
      <c r="A1" s="1" t="s">
        <v>124</v>
      </c>
      <c r="B1" s="1" t="s">
        <v>125</v>
      </c>
      <c r="C1" s="1" t="s">
        <v>126</v>
      </c>
    </row>
    <row r="2" spans="1:3" x14ac:dyDescent="0.25">
      <c r="A2" t="s">
        <v>127</v>
      </c>
      <c r="B2" t="str">
        <f>VLOOKUP(Transactions!D2,Products!$A$2:$D$8,2,FALSE)</f>
        <v>Laptop</v>
      </c>
      <c r="C2" t="s">
        <v>154</v>
      </c>
    </row>
    <row r="3" spans="1:3" x14ac:dyDescent="0.25">
      <c r="A3" t="s">
        <v>128</v>
      </c>
      <c r="B3" t="str">
        <f>VLOOKUP(Transactions!D3,Products!$A$2:$D$8,2,FALSE)</f>
        <v>Mouse</v>
      </c>
      <c r="C3" t="s">
        <v>155</v>
      </c>
    </row>
    <row r="4" spans="1:3" x14ac:dyDescent="0.25">
      <c r="A4" t="s">
        <v>129</v>
      </c>
      <c r="B4" t="str">
        <f>IF(Transactions!K2&gt;=50000,"High","Low")</f>
        <v>High</v>
      </c>
      <c r="C4" t="s">
        <v>156</v>
      </c>
    </row>
    <row r="5" spans="1:3" x14ac:dyDescent="0.25">
      <c r="A5" t="s">
        <v>130</v>
      </c>
      <c r="B5">
        <f>SUMIFS(Transactions!$K$2:$K$31,Transactions!$G$2:$G$31,"North")</f>
        <v>251800</v>
      </c>
      <c r="C5">
        <v>251800</v>
      </c>
    </row>
    <row r="6" spans="1:3" x14ac:dyDescent="0.25">
      <c r="A6" t="s">
        <v>131</v>
      </c>
      <c r="B6">
        <f>COUNTIFS(Transactions!$F$2:$F$31,"Electronics")</f>
        <v>14</v>
      </c>
      <c r="C6">
        <v>14</v>
      </c>
    </row>
    <row r="7" spans="1:3" x14ac:dyDescent="0.25">
      <c r="A7" t="s">
        <v>132</v>
      </c>
      <c r="B7" t="str">
        <f>UPPER(Transactions!C2)</f>
        <v>AMIT</v>
      </c>
      <c r="C7" t="s">
        <v>13</v>
      </c>
    </row>
    <row r="8" spans="1:3" x14ac:dyDescent="0.25">
      <c r="A8" t="s">
        <v>133</v>
      </c>
      <c r="B8" t="str">
        <f>LEFT(Transactions!C2,3)</f>
        <v>Ami</v>
      </c>
      <c r="C8" t="s">
        <v>157</v>
      </c>
    </row>
    <row r="9" spans="1:3" x14ac:dyDescent="0.25">
      <c r="A9" t="s">
        <v>134</v>
      </c>
      <c r="B9" t="str">
        <f>Transactions!C2&amp;" - "&amp;Transactions!G2</f>
        <v>Amit - North</v>
      </c>
      <c r="C9" t="s">
        <v>158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pane ySplit="1" topLeftCell="A2" activePane="bottomLeft" state="frozen"/>
      <selection pane="bottomLeft" activeCell="B17" sqref="B17"/>
    </sheetView>
  </sheetViews>
  <sheetFormatPr defaultRowHeight="15" x14ac:dyDescent="0.25"/>
  <cols>
    <col min="1" max="1" width="12" customWidth="1"/>
    <col min="2" max="3" width="42" customWidth="1"/>
  </cols>
  <sheetData>
    <row r="1" spans="1:3" x14ac:dyDescent="0.25">
      <c r="A1" s="1" t="s">
        <v>135</v>
      </c>
      <c r="B1" s="1" t="s">
        <v>136</v>
      </c>
      <c r="C1" s="1" t="s">
        <v>137</v>
      </c>
    </row>
    <row r="2" spans="1:3" x14ac:dyDescent="0.25">
      <c r="A2" t="s">
        <v>138</v>
      </c>
      <c r="B2" t="s">
        <v>139</v>
      </c>
      <c r="C2" t="e">
        <f>VLOOKUP(A2,Products!$A$2:$D$8,2,FALSE)</f>
        <v>#N/A</v>
      </c>
    </row>
    <row r="3" spans="1:3" x14ac:dyDescent="0.25">
      <c r="A3" t="s">
        <v>140</v>
      </c>
      <c r="B3" t="s">
        <v>141</v>
      </c>
      <c r="C3" t="e">
        <f ca="1">XLOOKUP(A2,Products!$A$2:$A$8,Products!$B$2:$B$8,"Not Found")</f>
        <v>#NAME?</v>
      </c>
    </row>
    <row r="4" spans="1:3" x14ac:dyDescent="0.25">
      <c r="A4" t="s">
        <v>142</v>
      </c>
      <c r="B4" t="s">
        <v>143</v>
      </c>
      <c r="C4" t="str">
        <f>IF(K2&gt;=50000,"High","Low")</f>
        <v>Low</v>
      </c>
    </row>
    <row r="5" spans="1:3" x14ac:dyDescent="0.25">
      <c r="A5" t="s">
        <v>144</v>
      </c>
      <c r="B5" t="s">
        <v>145</v>
      </c>
      <c r="C5">
        <f>SUMIFS(Transactions!$K$2:$K$31,Transactions!$G$2:$G$31,"North")</f>
        <v>251800</v>
      </c>
    </row>
    <row r="6" spans="1:3" x14ac:dyDescent="0.25">
      <c r="A6" t="s">
        <v>146</v>
      </c>
      <c r="B6" t="s">
        <v>147</v>
      </c>
      <c r="C6">
        <f>COUNTIFS(Transactions!$F$2:$F$31,"Electronics")</f>
        <v>14</v>
      </c>
    </row>
    <row r="7" spans="1:3" x14ac:dyDescent="0.25">
      <c r="A7" t="s">
        <v>148</v>
      </c>
      <c r="B7" t="s">
        <v>149</v>
      </c>
      <c r="C7" t="e">
        <f>UPPER(C2)</f>
        <v>#N/A</v>
      </c>
    </row>
    <row r="8" spans="1:3" x14ac:dyDescent="0.25">
      <c r="A8" t="s">
        <v>150</v>
      </c>
      <c r="B8" t="s">
        <v>151</v>
      </c>
      <c r="C8" t="e">
        <f>LEFT(C2,3)</f>
        <v>#N/A</v>
      </c>
    </row>
    <row r="9" spans="1:3" x14ac:dyDescent="0.25">
      <c r="A9" t="s">
        <v>152</v>
      </c>
      <c r="B9" t="s">
        <v>153</v>
      </c>
      <c r="C9" t="e">
        <f>C2&amp;" - "&amp;G2</f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Products</vt:lpstr>
      <vt:lpstr>Practice</vt:lpstr>
      <vt:lpstr>Formula_Notes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2026-10-06T05:09:26Z</dcterms:created>
  <dcterms:modified xsi:type="dcterms:W3CDTF">2026-10-06T05:42:38Z</dcterms:modified>
</cp:coreProperties>
</file>